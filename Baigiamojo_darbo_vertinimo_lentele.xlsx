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stinasKrutikovas\Desktop\GEN AI 26 05 18\"/>
    </mc:Choice>
  </mc:AlternateContent>
  <xr:revisionPtr revIDLastSave="0" documentId="13_ncr:1_{37FE8FE7-B02C-4F5C-B355-78866A939D9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Vertinimo lentelė" sheetId="1" r:id="rId1"/>
    <sheet name="Kriterija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1" l="1"/>
  <c r="K19" i="1"/>
  <c r="K18" i="1"/>
  <c r="K17" i="1"/>
  <c r="K16" i="1"/>
  <c r="K15" i="1"/>
  <c r="K14" i="1"/>
  <c r="K13" i="1"/>
  <c r="K12" i="1"/>
  <c r="K11" i="1"/>
  <c r="K10" i="1"/>
  <c r="K9" i="1"/>
  <c r="K8" i="1"/>
  <c r="K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Reikalavimai Įskaitai (V2)</author>
  </authors>
  <commentList>
    <comment ref="G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Aiškiai matyti bent 2–3 kurso metu dėstytų temų praktinis pritaikymas.
Tyrimas: NotebookLM / Perplexity Deep Research + patikrinamos citatos.
n8n agentas: trigeriai, LLM mazgai, Memory/RAG, privalomas Human-in-the-loop.
Aplikacija (Lovable/Vibe-coding): veikianti preview nuoroda, struktūrizuota išvestis (JSON), promptų inžinerija kode.</t>
        </r>
      </text>
    </comment>
    <comment ref="H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Sąnaudų supratimas: modelio (GPT-5-mini, Claude, Gemini, DeepSeek, Ollama) pasirinkimo logika, žetonų sąnaudos.
Modelių parinkimas: argumentavimas pasirinkimo pagal Arena Elo / MMLU (tyrimams).</t>
        </r>
      </text>
    </comment>
    <comment ref="I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Klaidų valdymas: numatyti error handling keliai (LLM haliucinuoja / API nepasiekiama).
Duomenų saugumas: jokių atvirų API raktų kode, naudojamos n8n paslapčių valdymo sistemos.</t>
        </r>
      </text>
    </comment>
    <comment ref="J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Laiko limitas: griežtai 10 min. (įsk. demo / vibe-coding įžvalgas).
Aiškumas: paprasta kalba paaiškinta problema 'prieš ir po', be perkrauto žargono.</t>
        </r>
      </text>
    </comment>
    <comment ref="L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Privaloma TIK jei Variantas 2 ir sprendimas sukurtas 'vibe-coding' būdu (GitHub Copilot, Lovable.dev, OpenAI Codex ir kt.).
Pažymėti N/A, jei šis reikalavimas netaikomas (n8n arba Tyrimas).</t>
        </r>
      </text>
    </comment>
  </commentList>
</comments>
</file>

<file path=xl/sharedStrings.xml><?xml version="1.0" encoding="utf-8"?>
<sst xmlns="http://schemas.openxmlformats.org/spreadsheetml/2006/main" count="82" uniqueCount="79">
  <si>
    <t>Generatyvusis DI pradedantiesiems — Baigiamojo darbo vertinimo lentelė</t>
  </si>
  <si>
    <t>Vertinimo komisija: Lektorius Justinas Krutikovas   |   Baltic Institute of Technologies, 2026</t>
  </si>
  <si>
    <t>Nr.</t>
  </si>
  <si>
    <t>Vardas Pavardė</t>
  </si>
  <si>
    <t>Atsiskaitymo variantas</t>
  </si>
  <si>
    <t>Darbo / projekto pavadinimas</t>
  </si>
  <si>
    <t>Pristatymo data</t>
  </si>
  <si>
    <t>Trukmė (min)</t>
  </si>
  <si>
    <t>1. Techninis kurso
integravimas (1–5)</t>
  </si>
  <si>
    <t>2. Ekonominis / loginis
pagrindimas (1–5)</t>
  </si>
  <si>
    <t>3. Gyvavimo ciklas
ir saugumas (1–5)</t>
  </si>
  <si>
    <t>4. Pristatymo kokybė
ir laiko vadyba (1–5)</t>
  </si>
  <si>
    <t>Bendras balas
(iš 20)</t>
  </si>
  <si>
    <t>Vibe-coding mini-
pranešimas (2 min)</t>
  </si>
  <si>
    <t>Galutinis rezultatas</t>
  </si>
  <si>
    <t>Komisijos pastabos</t>
  </si>
  <si>
    <t>Karolis Lukošiūnas</t>
  </si>
  <si>
    <t>Andrius Karčauskas</t>
  </si>
  <si>
    <t>Marijus Vaicekauskas</t>
  </si>
  <si>
    <t>Remigijus Vičiulis</t>
  </si>
  <si>
    <t>Augutis Kučinskas</t>
  </si>
  <si>
    <t>Kristina Jurkevičienė</t>
  </si>
  <si>
    <t>Nikita Geraskin</t>
  </si>
  <si>
    <t>Anželika Danilevičiūtė-...</t>
  </si>
  <si>
    <t>Henrikas Mikulis</t>
  </si>
  <si>
    <t>Aurika Žymančienė</t>
  </si>
  <si>
    <t>Tomas Kelpsa</t>
  </si>
  <si>
    <t>Eglė Matickienė</t>
  </si>
  <si>
    <t>Tautvilė Černienė</t>
  </si>
  <si>
    <t>Tatjana Lipina</t>
  </si>
  <si>
    <t>Aneta Naimovičienė</t>
  </si>
  <si>
    <t>Pastaba: balai 1–5 kiekvienam kriterijui yra pagalbinė skalė galutiniam sprendimui priimti. Oranžinė/žalia „Bendras balas“ spalva – tik orientacinė (&lt; 12 silpna, ≥ 16 stipru); galutinį „Įskaityta / Neįskaityta“ sprendimą visada priima komisija pagal esminius kriterijus (žr. lapą „Kriterijai“).</t>
  </si>
  <si>
    <t>Reikalavimai įskaitai — vertinimo kriterijai (BIT_GEN_AI_Baigiamojo_Darbo_Reikalavimai_V2)</t>
  </si>
  <si>
    <t>Atsiskaitymo būdai</t>
  </si>
  <si>
    <t>1 Variantas: Teorinis-praktinis tyrimas ir pristatymas</t>
  </si>
  <si>
    <t>10 min. pristatymas skaidrėmis. Turinys: temos aktualumas, problemos kėlimas, lyginamoji analizė (LLM modelių testavimas, kainų/žetonų ekonomika, halucinacijų suvaldymo strategijos), išvados, praktiniai patarimai. DRAUDŽIAMA generuoti pačias skaidres su DI (Gamma, Beautiful.ai, ChatGPT) 'nuo nulio', nebent tai produkto demo arba patarimas kaip veikia įrankis.</t>
  </si>
  <si>
    <t>2 Variantas: Praktinis sprendimas (n8n arba Vibe-Coding)</t>
  </si>
  <si>
    <t>Sukurta individuali darbo eiga / DI sistema / komponentas / app'as / naudingas įrankis, naudojant n8n arba Vibe-Coding metodiką (GitHub Copilot, Lovable.dev, OpenAI Codex ir kt.). Vibe-coder'iams PRIVALOMA: 2 min. mini-pranešimas apie promptinimą kode, testų rašymą pirmiausia, klaidų taisymą.</t>
  </si>
  <si>
    <t>1. Techninis kurso programos integravimas</t>
  </si>
  <si>
    <t>Aiškiai matomas bent 2–3 kurso temų praktinis pritaikymas.</t>
  </si>
  <si>
    <t xml:space="preserve">   • Tyrimas</t>
  </si>
  <si>
    <t>Remiamasi NotebookLM / Perplexity Deep Research medžiaga; privalomos patikrinamos citatos ir šaltiniai.</t>
  </si>
  <si>
    <t xml:space="preserve">   • n8n agentas</t>
  </si>
  <si>
    <t>Pažangūs komponentai: trigeriai, LLM mazgai, atmintis (Memory) arba RAG. Privalomas Human-in-the-loop kritinėse vietose.</t>
  </si>
  <si>
    <t xml:space="preserve">   • Aplikacija (Lovable / Vibe-coding)</t>
  </si>
  <si>
    <t>Veikianti preview nuoroda, struktūrizuoti išvesties formatai (pvz., JSON), aiškus promptų inžinerijos panaudojimas.</t>
  </si>
  <si>
    <t>2. Ekonominis ir loginis pagrindimas</t>
  </si>
  <si>
    <t xml:space="preserve">   • Sąnaudų supratimas</t>
  </si>
  <si>
    <t>Modelio (GPT-5-mini, Claude, Gemini, DeepSeek) pasirinkimo logika, žetonų sąnaudos, arba kodėl pasirinktas vietinis modelis (Ollama) privatumo sumetimais.</t>
  </si>
  <si>
    <t xml:space="preserve">   • Modelių parinkimas</t>
  </si>
  <si>
    <t>Argumentavimas kodėl konkrečiai užduočiai pasirinktas modelis, remiantis Arena Elo ar MMLU (taikoma tyrimams).</t>
  </si>
  <si>
    <t>3. Sprendimo gyvavimo ciklas ir saugumas</t>
  </si>
  <si>
    <t xml:space="preserve">   • Klaidų valdymas</t>
  </si>
  <si>
    <t>Numatyti elementarūs error handling keliai — kas vyksta, jei LLM haliucinuoja arba API nepasiekiama.</t>
  </si>
  <si>
    <t xml:space="preserve">   • Duomenų saugumas</t>
  </si>
  <si>
    <t>Jokių atvirų API raktų kode; naudojamos n8n paslapčių (credentials) valdymo sistemos.</t>
  </si>
  <si>
    <t>4. Pristatymo kokybė ir laiko vadyba</t>
  </si>
  <si>
    <t xml:space="preserve">   • Laiko limitas</t>
  </si>
  <si>
    <t>Griežtai 10 min. (įskaitant demonstraciją ar vibe-coding įžvalgas).</t>
  </si>
  <si>
    <t xml:space="preserve">   • Aiškumas</t>
  </si>
  <si>
    <t>Paprasta, neperkrauta žargonu kalba; aiškiai paaiškinta 'prieš ir po' būsena — kokią realią problemą darbas išsprendžia.</t>
  </si>
  <si>
    <t>Rekomenduojama pristatymo struktūra (10 min.)</t>
  </si>
  <si>
    <t>1–2 min.</t>
  </si>
  <si>
    <t>n8n/Vibe-coding: problema ir idėja  |  Tyrimas: temos aktualumas ir tikslas</t>
  </si>
  <si>
    <t>3–5 min.</t>
  </si>
  <si>
    <t>n8n/Vibe-coding: demo gyvai / video  |  Tyrimas: esminės įžvalgos, modelių palyginimas, rezultatai</t>
  </si>
  <si>
    <t>2 min.</t>
  </si>
  <si>
    <t>n8n/Vibe-coding: techninė architektūra (mazgai, RAG, modeliai)  |  Tyrimas: citatos, šaltinių tikrinimas</t>
  </si>
  <si>
    <t>n8n/Vibe-coding: vibe-coding patirtis arba pamokos/ateities plėtra  |  Tyrimas: išvados ir patarimai kolegoms</t>
  </si>
  <si>
    <t>Laikys testą</t>
  </si>
  <si>
    <t>Laikys abu</t>
  </si>
  <si>
    <t>Laikys testą, jei BD nepasiseks</t>
  </si>
  <si>
    <t>Dokumentų formavimas, vadovo kūrimas darželio pedagogams</t>
  </si>
  <si>
    <t>Įskaityta</t>
  </si>
  <si>
    <t>1. Tyrimas</t>
  </si>
  <si>
    <t>Skyrė nemažai laiko</t>
  </si>
  <si>
    <t>Praktinis darbas</t>
  </si>
  <si>
    <t>Klientų registracijos sistema</t>
  </si>
  <si>
    <t>Automatizacija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</si>
</sst>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i/>
      <sz val="9"/>
      <color rgb="FF595959"/>
      <name val="Calibri"/>
    </font>
    <font>
      <b/>
      <sz val="11"/>
      <color rgb="FF1F38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2" fillId="0" borderId="0" xfId="0" applyFont="1"/>
    <xf numFmtId="0" fontId="0" fillId="0" borderId="0" xfId="0"/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2" borderId="0" xfId="0" applyFont="1" applyFill="1"/>
  </cellXfs>
  <cellStyles count="1">
    <cellStyle name="Normal" xfId="0" builtinId="0"/>
  </cellStyles>
  <dxfs count="5"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showGridLines="0" tabSelected="1" zoomScale="115" zoomScaleNormal="115" workbookViewId="0">
      <pane xSplit="2" ySplit="5" topLeftCell="C6" activePane="bottomRight" state="frozen"/>
      <selection pane="topRight"/>
      <selection pane="bottomLeft"/>
      <selection pane="bottomRight" activeCell="L17" sqref="L17"/>
    </sheetView>
  </sheetViews>
  <sheetFormatPr defaultRowHeight="15" x14ac:dyDescent="0.25"/>
  <cols>
    <col min="1" max="1" width="3.7109375" bestFit="1" customWidth="1"/>
    <col min="2" max="2" width="23.5703125" bestFit="1" customWidth="1"/>
    <col min="3" max="3" width="15.5703125" customWidth="1"/>
    <col min="4" max="4" width="63.140625" bestFit="1" customWidth="1"/>
    <col min="5" max="5" width="10.5703125" bestFit="1" customWidth="1"/>
    <col min="6" max="6" width="7.7109375" bestFit="1" customWidth="1"/>
    <col min="7" max="8" width="16.85546875" bestFit="1" customWidth="1"/>
    <col min="9" max="9" width="16.42578125" bestFit="1" customWidth="1"/>
    <col min="10" max="10" width="18.85546875" bestFit="1" customWidth="1"/>
    <col min="11" max="11" width="8.140625" bestFit="1" customWidth="1"/>
    <col min="12" max="12" width="16.28515625" bestFit="1" customWidth="1"/>
    <col min="13" max="13" width="9.7109375" bestFit="1" customWidth="1"/>
    <col min="14" max="14" width="28" bestFit="1" customWidth="1"/>
  </cols>
  <sheetData>
    <row r="1" spans="1:15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18" customHeight="1" x14ac:dyDescent="0.25">
      <c r="A3" s="11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5" spans="1:15" ht="45.95" customHeight="1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5" ht="20.100000000000001" customHeight="1" x14ac:dyDescent="0.25">
      <c r="A6" s="2">
        <v>1</v>
      </c>
      <c r="B6" s="3" t="s">
        <v>16</v>
      </c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3" t="s">
        <v>69</v>
      </c>
    </row>
    <row r="7" spans="1:15" ht="20.100000000000001" customHeight="1" x14ac:dyDescent="0.25">
      <c r="A7" s="4">
        <v>2</v>
      </c>
      <c r="B7" s="5" t="s">
        <v>17</v>
      </c>
      <c r="C7" s="4"/>
      <c r="D7" s="5"/>
      <c r="E7" s="4"/>
      <c r="F7" s="4"/>
      <c r="G7" s="4"/>
      <c r="H7" s="4"/>
      <c r="I7" s="4"/>
      <c r="J7" s="4"/>
      <c r="K7" s="4" t="str">
        <f t="shared" ref="K7:K20" si="0">IF(COUNT(G7:J7)=4,SUM(G7:J7),"")</f>
        <v/>
      </c>
      <c r="L7" s="4"/>
      <c r="M7" s="4"/>
      <c r="N7" s="5"/>
    </row>
    <row r="8" spans="1:15" ht="20.100000000000001" customHeight="1" x14ac:dyDescent="0.25">
      <c r="A8" s="2">
        <v>3</v>
      </c>
      <c r="B8" s="3" t="s">
        <v>18</v>
      </c>
      <c r="C8" s="2"/>
      <c r="D8" s="3"/>
      <c r="E8" s="2"/>
      <c r="F8" s="2"/>
      <c r="G8" s="2"/>
      <c r="H8" s="2"/>
      <c r="I8" s="2"/>
      <c r="J8" s="2"/>
      <c r="K8" s="2" t="str">
        <f t="shared" si="0"/>
        <v/>
      </c>
      <c r="L8" s="2"/>
      <c r="M8" s="2"/>
      <c r="N8" s="3"/>
    </row>
    <row r="9" spans="1:15" ht="20.100000000000001" customHeight="1" x14ac:dyDescent="0.25">
      <c r="A9" s="4">
        <v>4</v>
      </c>
      <c r="B9" s="5" t="s">
        <v>19</v>
      </c>
      <c r="C9" s="4"/>
      <c r="D9" s="5"/>
      <c r="E9" s="4"/>
      <c r="F9" s="4"/>
      <c r="G9" s="4"/>
      <c r="H9" s="4"/>
      <c r="I9" s="4"/>
      <c r="J9" s="4"/>
      <c r="K9" s="4" t="str">
        <f t="shared" si="0"/>
        <v/>
      </c>
      <c r="L9" s="4"/>
      <c r="M9" s="4"/>
      <c r="N9" s="5" t="s">
        <v>70</v>
      </c>
    </row>
    <row r="10" spans="1:15" ht="20.100000000000001" customHeight="1" x14ac:dyDescent="0.25">
      <c r="A10" s="2">
        <v>5</v>
      </c>
      <c r="B10" s="3" t="s">
        <v>20</v>
      </c>
      <c r="C10" s="2"/>
      <c r="D10" s="3"/>
      <c r="E10" s="2"/>
      <c r="F10" s="2"/>
      <c r="G10" s="2"/>
      <c r="H10" s="2"/>
      <c r="I10" s="2"/>
      <c r="J10" s="2"/>
      <c r="K10" s="2" t="str">
        <f t="shared" si="0"/>
        <v/>
      </c>
      <c r="L10" s="2"/>
      <c r="M10" s="2"/>
      <c r="N10" s="3"/>
    </row>
    <row r="11" spans="1:15" ht="20.100000000000001" customHeight="1" x14ac:dyDescent="0.25">
      <c r="A11" s="4">
        <v>6</v>
      </c>
      <c r="B11" s="5" t="s">
        <v>21</v>
      </c>
      <c r="C11" s="4" t="s">
        <v>76</v>
      </c>
      <c r="D11" s="5" t="s">
        <v>77</v>
      </c>
      <c r="E11" s="8">
        <v>46218</v>
      </c>
      <c r="F11" s="4">
        <v>10</v>
      </c>
      <c r="G11" s="4">
        <v>4</v>
      </c>
      <c r="H11" s="4">
        <v>2</v>
      </c>
      <c r="I11" s="4">
        <v>2</v>
      </c>
      <c r="J11" s="4">
        <v>2</v>
      </c>
      <c r="K11" s="4">
        <f t="shared" si="0"/>
        <v>10</v>
      </c>
      <c r="L11" s="4">
        <v>0</v>
      </c>
      <c r="M11" s="4" t="s">
        <v>73</v>
      </c>
      <c r="N11" s="5" t="s">
        <v>78</v>
      </c>
    </row>
    <row r="12" spans="1:15" ht="20.100000000000001" customHeight="1" x14ac:dyDescent="0.25">
      <c r="A12" s="2">
        <v>7</v>
      </c>
      <c r="B12" s="3" t="s">
        <v>22</v>
      </c>
      <c r="C12" s="2"/>
      <c r="D12" s="3"/>
      <c r="E12" s="2"/>
      <c r="F12" s="2"/>
      <c r="G12" s="2"/>
      <c r="I12" s="2"/>
      <c r="J12" s="2"/>
      <c r="K12" s="2" t="str">
        <f t="shared" si="0"/>
        <v/>
      </c>
      <c r="L12" s="2"/>
      <c r="M12" s="2"/>
      <c r="N12" s="3"/>
    </row>
    <row r="13" spans="1:15" ht="20.100000000000001" customHeight="1" x14ac:dyDescent="0.25">
      <c r="A13" s="4">
        <v>8</v>
      </c>
      <c r="B13" s="5" t="s">
        <v>23</v>
      </c>
      <c r="C13" s="4" t="s">
        <v>74</v>
      </c>
      <c r="D13" s="5" t="s">
        <v>72</v>
      </c>
      <c r="E13" s="8">
        <v>46212</v>
      </c>
      <c r="F13" s="4">
        <v>10</v>
      </c>
      <c r="G13" s="4">
        <v>2</v>
      </c>
      <c r="H13" s="2">
        <v>5</v>
      </c>
      <c r="I13" s="4">
        <v>3</v>
      </c>
      <c r="J13" s="4">
        <v>4</v>
      </c>
      <c r="K13" s="4">
        <f t="shared" si="0"/>
        <v>14</v>
      </c>
      <c r="L13" s="4">
        <v>0</v>
      </c>
      <c r="M13" s="4" t="s">
        <v>73</v>
      </c>
      <c r="N13" s="5" t="s">
        <v>75</v>
      </c>
    </row>
    <row r="14" spans="1:15" ht="20.100000000000001" customHeight="1" x14ac:dyDescent="0.25">
      <c r="A14" s="2">
        <v>9</v>
      </c>
      <c r="B14" s="3" t="s">
        <v>24</v>
      </c>
      <c r="C14" s="2"/>
      <c r="D14" s="3"/>
      <c r="E14" s="2"/>
      <c r="F14" s="2"/>
      <c r="G14" s="2"/>
      <c r="H14" s="2"/>
      <c r="I14" s="2"/>
      <c r="J14" s="2"/>
      <c r="K14" s="2" t="str">
        <f t="shared" si="0"/>
        <v/>
      </c>
      <c r="L14" s="2"/>
      <c r="M14" s="2"/>
      <c r="N14" s="3"/>
    </row>
    <row r="15" spans="1:15" ht="20.100000000000001" customHeight="1" x14ac:dyDescent="0.25">
      <c r="A15" s="4">
        <v>10</v>
      </c>
      <c r="B15" s="5" t="s">
        <v>25</v>
      </c>
      <c r="C15" s="4"/>
      <c r="D15" s="5"/>
      <c r="E15" s="4"/>
      <c r="F15" s="4"/>
      <c r="G15" s="4"/>
      <c r="H15" s="4"/>
      <c r="I15" s="4"/>
      <c r="J15" s="4"/>
      <c r="K15" s="4" t="str">
        <f t="shared" si="0"/>
        <v/>
      </c>
      <c r="L15" s="4"/>
      <c r="M15" s="4"/>
      <c r="N15" s="5"/>
    </row>
    <row r="16" spans="1:15" ht="20.100000000000001" customHeight="1" x14ac:dyDescent="0.25">
      <c r="A16" s="2">
        <v>11</v>
      </c>
      <c r="B16" s="3" t="s">
        <v>26</v>
      </c>
      <c r="C16" s="2"/>
      <c r="D16" s="3"/>
      <c r="E16" s="2"/>
      <c r="F16" s="2"/>
      <c r="G16" s="2"/>
      <c r="H16" s="2"/>
      <c r="I16" s="2"/>
      <c r="J16" s="2"/>
      <c r="K16" s="2" t="str">
        <f t="shared" si="0"/>
        <v/>
      </c>
      <c r="L16" s="2"/>
      <c r="M16" s="2"/>
      <c r="N16" s="3" t="s">
        <v>69</v>
      </c>
    </row>
    <row r="17" spans="1:14" ht="20.100000000000001" customHeight="1" x14ac:dyDescent="0.25">
      <c r="A17" s="4">
        <v>12</v>
      </c>
      <c r="B17" s="5" t="s">
        <v>27</v>
      </c>
      <c r="C17" s="4"/>
      <c r="D17" s="5"/>
      <c r="E17" s="4"/>
      <c r="F17" s="4"/>
      <c r="G17" s="4"/>
      <c r="H17" s="4"/>
      <c r="I17" s="4"/>
      <c r="J17" s="4"/>
      <c r="K17" s="4" t="str">
        <f t="shared" si="0"/>
        <v/>
      </c>
      <c r="L17" s="4"/>
      <c r="M17" s="4"/>
      <c r="N17" s="3" t="s">
        <v>71</v>
      </c>
    </row>
    <row r="18" spans="1:14" ht="20.100000000000001" customHeight="1" x14ac:dyDescent="0.25">
      <c r="A18" s="2">
        <v>13</v>
      </c>
      <c r="B18" s="3" t="s">
        <v>28</v>
      </c>
      <c r="C18" s="2"/>
      <c r="D18" s="3"/>
      <c r="E18" s="2"/>
      <c r="F18" s="2"/>
      <c r="G18" s="2"/>
      <c r="H18" s="2"/>
      <c r="I18" s="2"/>
      <c r="J18" s="2"/>
      <c r="K18" s="2" t="str">
        <f t="shared" si="0"/>
        <v/>
      </c>
      <c r="L18" s="2"/>
      <c r="M18" s="2"/>
    </row>
    <row r="19" spans="1:14" ht="20.100000000000001" customHeight="1" x14ac:dyDescent="0.25">
      <c r="A19" s="4">
        <v>14</v>
      </c>
      <c r="B19" s="5" t="s">
        <v>29</v>
      </c>
      <c r="C19" s="4"/>
      <c r="D19" s="5"/>
      <c r="E19" s="4"/>
      <c r="F19" s="4"/>
      <c r="G19" s="4"/>
      <c r="H19" s="4"/>
      <c r="I19" s="4"/>
      <c r="J19" s="4"/>
      <c r="K19" s="4" t="str">
        <f t="shared" si="0"/>
        <v/>
      </c>
      <c r="L19" s="4"/>
      <c r="M19" s="4"/>
      <c r="N19" s="5"/>
    </row>
    <row r="20" spans="1:14" ht="20.100000000000001" customHeight="1" x14ac:dyDescent="0.25">
      <c r="A20" s="2">
        <v>15</v>
      </c>
      <c r="B20" s="3" t="s">
        <v>30</v>
      </c>
      <c r="C20" s="2"/>
      <c r="D20" s="3"/>
      <c r="E20" s="2"/>
      <c r="F20" s="2"/>
      <c r="G20" s="2"/>
      <c r="H20" s="2"/>
      <c r="I20" s="2"/>
      <c r="J20" s="2"/>
      <c r="K20" s="2" t="str">
        <f t="shared" si="0"/>
        <v/>
      </c>
      <c r="L20" s="2"/>
      <c r="M20" s="2"/>
      <c r="N20" s="3"/>
    </row>
    <row r="22" spans="1:14" ht="30" customHeight="1" x14ac:dyDescent="0.25">
      <c r="A22" s="13" t="s">
        <v>31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</sheetData>
  <mergeCells count="3">
    <mergeCell ref="A1:O2"/>
    <mergeCell ref="A3:O3"/>
    <mergeCell ref="A22:N22"/>
  </mergeCells>
  <conditionalFormatting sqref="K6:K20">
    <cfRule type="cellIs" dxfId="4" priority="4" operator="lessThan">
      <formula>12</formula>
    </cfRule>
    <cfRule type="cellIs" dxfId="3" priority="5" operator="greaterThanOrEqual">
      <formula>16</formula>
    </cfRule>
  </conditionalFormatting>
  <conditionalFormatting sqref="M6:M20">
    <cfRule type="expression" dxfId="2" priority="1">
      <formula>M6="Įskaityta"</formula>
    </cfRule>
    <cfRule type="expression" dxfId="1" priority="2">
      <formula>M6="Neįskaityta"</formula>
    </cfRule>
    <cfRule type="expression" dxfId="0" priority="3">
      <formula>M6="Persilaikyti"</formula>
    </cfRule>
  </conditionalFormatting>
  <dataValidations count="4">
    <dataValidation type="list" allowBlank="1" sqref="C6:C20" xr:uid="{00000000-0002-0000-0000-000000000000}">
      <formula1>"1. Tyrimas,2. n8n automatizacija,2. Vibe-coding"</formula1>
    </dataValidation>
    <dataValidation type="list" allowBlank="1" sqref="G6:G20 I6:J20 H6:H11 H13:H20" xr:uid="{00000000-0002-0000-0000-000001000000}">
      <formula1>"1,2,3,4,5"</formula1>
    </dataValidation>
    <dataValidation type="list" allowBlank="1" sqref="L6:L20" xr:uid="{00000000-0002-0000-0000-000002000000}">
      <formula1>"Taip,Ne,N/A"</formula1>
    </dataValidation>
    <dataValidation type="list" allowBlank="1" sqref="M6:M20" xr:uid="{00000000-0002-0000-0000-000003000000}">
      <formula1>"Įskaityta,Neįskaityta,Persilaikyti"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showGridLines="0" workbookViewId="0"/>
  </sheetViews>
  <sheetFormatPr defaultRowHeight="15" x14ac:dyDescent="0.25"/>
  <cols>
    <col min="1" max="1" width="42" customWidth="1"/>
    <col min="2" max="2" width="95" customWidth="1"/>
  </cols>
  <sheetData>
    <row r="1" spans="1:2" ht="24" customHeight="1" x14ac:dyDescent="0.35">
      <c r="A1" s="16" t="s">
        <v>32</v>
      </c>
      <c r="B1" s="12"/>
    </row>
    <row r="3" spans="1:2" ht="18" customHeight="1" x14ac:dyDescent="0.25">
      <c r="A3" s="14" t="s">
        <v>33</v>
      </c>
      <c r="B3" s="15"/>
    </row>
    <row r="4" spans="1:2" ht="30" customHeight="1" x14ac:dyDescent="0.25">
      <c r="A4" s="6" t="s">
        <v>34</v>
      </c>
      <c r="B4" s="7" t="s">
        <v>35</v>
      </c>
    </row>
    <row r="5" spans="1:2" ht="30" customHeight="1" x14ac:dyDescent="0.25">
      <c r="A5" s="6" t="s">
        <v>36</v>
      </c>
      <c r="B5" s="7" t="s">
        <v>37</v>
      </c>
    </row>
    <row r="6" spans="1:2" ht="18" customHeight="1" x14ac:dyDescent="0.25">
      <c r="A6" s="7"/>
      <c r="B6" s="7"/>
    </row>
    <row r="7" spans="1:2" ht="30" customHeight="1" x14ac:dyDescent="0.25">
      <c r="A7" s="6" t="s">
        <v>38</v>
      </c>
      <c r="B7" s="7" t="s">
        <v>39</v>
      </c>
    </row>
    <row r="8" spans="1:2" ht="30" customHeight="1" x14ac:dyDescent="0.25">
      <c r="A8" s="7" t="s">
        <v>40</v>
      </c>
      <c r="B8" s="7" t="s">
        <v>41</v>
      </c>
    </row>
    <row r="9" spans="1:2" ht="30" customHeight="1" x14ac:dyDescent="0.25">
      <c r="A9" s="7" t="s">
        <v>42</v>
      </c>
      <c r="B9" s="7" t="s">
        <v>43</v>
      </c>
    </row>
    <row r="10" spans="1:2" ht="30" customHeight="1" x14ac:dyDescent="0.25">
      <c r="A10" s="7" t="s">
        <v>44</v>
      </c>
      <c r="B10" s="7" t="s">
        <v>45</v>
      </c>
    </row>
    <row r="11" spans="1:2" ht="18" customHeight="1" x14ac:dyDescent="0.25">
      <c r="A11" s="14" t="s">
        <v>46</v>
      </c>
      <c r="B11" s="15"/>
    </row>
    <row r="12" spans="1:2" ht="30" customHeight="1" x14ac:dyDescent="0.25">
      <c r="A12" s="7" t="s">
        <v>47</v>
      </c>
      <c r="B12" s="7" t="s">
        <v>48</v>
      </c>
    </row>
    <row r="13" spans="1:2" ht="30" customHeight="1" x14ac:dyDescent="0.25">
      <c r="A13" s="7" t="s">
        <v>49</v>
      </c>
      <c r="B13" s="7" t="s">
        <v>50</v>
      </c>
    </row>
    <row r="14" spans="1:2" ht="18" customHeight="1" x14ac:dyDescent="0.25">
      <c r="A14" s="14" t="s">
        <v>51</v>
      </c>
      <c r="B14" s="15"/>
    </row>
    <row r="15" spans="1:2" ht="30" customHeight="1" x14ac:dyDescent="0.25">
      <c r="A15" s="7" t="s">
        <v>52</v>
      </c>
      <c r="B15" s="7" t="s">
        <v>53</v>
      </c>
    </row>
    <row r="16" spans="1:2" ht="30" customHeight="1" x14ac:dyDescent="0.25">
      <c r="A16" s="7" t="s">
        <v>54</v>
      </c>
      <c r="B16" s="7" t="s">
        <v>55</v>
      </c>
    </row>
    <row r="17" spans="1:2" ht="18" customHeight="1" x14ac:dyDescent="0.25">
      <c r="A17" s="14" t="s">
        <v>56</v>
      </c>
      <c r="B17" s="15"/>
    </row>
    <row r="18" spans="1:2" ht="30" customHeight="1" x14ac:dyDescent="0.25">
      <c r="A18" s="7" t="s">
        <v>57</v>
      </c>
      <c r="B18" s="7" t="s">
        <v>58</v>
      </c>
    </row>
    <row r="19" spans="1:2" ht="30" customHeight="1" x14ac:dyDescent="0.25">
      <c r="A19" s="7" t="s">
        <v>59</v>
      </c>
      <c r="B19" s="7" t="s">
        <v>60</v>
      </c>
    </row>
    <row r="20" spans="1:2" ht="18" customHeight="1" x14ac:dyDescent="0.25">
      <c r="A20" s="7"/>
      <c r="B20" s="7"/>
    </row>
    <row r="21" spans="1:2" ht="18" customHeight="1" x14ac:dyDescent="0.25">
      <c r="A21" s="14" t="s">
        <v>61</v>
      </c>
      <c r="B21" s="15"/>
    </row>
    <row r="22" spans="1:2" ht="30" customHeight="1" x14ac:dyDescent="0.25">
      <c r="A22" s="7" t="s">
        <v>62</v>
      </c>
      <c r="B22" s="7" t="s">
        <v>63</v>
      </c>
    </row>
    <row r="23" spans="1:2" ht="30" customHeight="1" x14ac:dyDescent="0.25">
      <c r="A23" s="7" t="s">
        <v>64</v>
      </c>
      <c r="B23" s="7" t="s">
        <v>65</v>
      </c>
    </row>
    <row r="24" spans="1:2" ht="30" customHeight="1" x14ac:dyDescent="0.25">
      <c r="A24" s="7" t="s">
        <v>66</v>
      </c>
      <c r="B24" s="7" t="s">
        <v>67</v>
      </c>
    </row>
    <row r="25" spans="1:2" ht="30" customHeight="1" x14ac:dyDescent="0.25">
      <c r="A25" s="7" t="s">
        <v>66</v>
      </c>
      <c r="B25" s="7" t="s">
        <v>68</v>
      </c>
    </row>
  </sheetData>
  <mergeCells count="6">
    <mergeCell ref="A21:B21"/>
    <mergeCell ref="A11:B11"/>
    <mergeCell ref="A14:B14"/>
    <mergeCell ref="A1:B1"/>
    <mergeCell ref="A17:B17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Vertinimo lentelė</vt:lpstr>
      <vt:lpstr>Kriterijai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Justinas Krutikovas</cp:lastModifiedBy>
  <dcterms:created xsi:type="dcterms:W3CDTF">2026-07-08T14:03:58Z</dcterms:created>
  <dcterms:modified xsi:type="dcterms:W3CDTF">2026-07-15T15:08:35Z</dcterms:modified>
</cp:coreProperties>
</file>